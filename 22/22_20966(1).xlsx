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solver_acr" vbProcedure="false">1</definedName>
    <definedName function="false" hidden="true" localSheetId="0" name="solver_adj" vbProcedure="false">Лист1!$H$2,$H$3</definedName>
    <definedName function="false" hidden="true" localSheetId="0" name="solver_asr" vbProcedure="false">0.5</definedName>
    <definedName function="false" hidden="true" localSheetId="0" name="solver_bbd" vbProcedure="false">0</definedName>
    <definedName function="false" hidden="true" localSheetId="0" name="solver_ccoeff" vbProcedure="false">0.729</definedName>
    <definedName function="false" hidden="true" localSheetId="0" name="solver_cog" vbProcedure="false">1.494</definedName>
    <definedName function="false" hidden="true" localSheetId="0" name="solver_crpb" vbProcedure="false">0.9</definedName>
    <definedName function="false" hidden="true" localSheetId="0" name="solver_eng" vbProcedure="false">3</definedName>
    <definedName function="false" hidden="true" localSheetId="0" name="solver_enst" vbProcedure="false">1</definedName>
    <definedName function="false" hidden="true" localSheetId="0" name="solver_eps" vbProcedure="false">0</definedName>
    <definedName function="false" hidden="true" localSheetId="0" name="solver_gvr" vbProcedure="false">1</definedName>
    <definedName function="false" hidden="true" localSheetId="0" name="solver_int" vbProcedure="false">1</definedName>
    <definedName function="false" hidden="true" localSheetId="0" name="solver_lbsz" vbProcedure="false">210</definedName>
    <definedName function="false" hidden="true" localSheetId="0" name="solver_lcy" vbProcedure="false">2000</definedName>
    <definedName function="false" hidden="true" localSheetId="0" name="solver_lhs1" vbProcedure="false">Лист1!$H$2</definedName>
    <definedName function="false" hidden="true" localSheetId="0" name="solver_lhs2" vbProcedure="false">Лист1!$H$3</definedName>
    <definedName function="false" hidden="true" localSheetId="0" name="solver_lo_eng" vbProcedure="false">"com.sun.star.comp.Calc.NLPSolver.DEPSSolverImpl"</definedName>
    <definedName function="false" hidden="true" localSheetId="0" name="solver_mtpb" vbProcedure="false">0</definedName>
    <definedName function="false" hidden="true" localSheetId="0" name="solver_neg" vbProcedure="false">1</definedName>
    <definedName function="false" hidden="true" localSheetId="0" name="solver_num" vbProcedure="false">2</definedName>
    <definedName function="false" hidden="true" localSheetId="0" name="solver_opt" vbProcedure="false">Лист1!$M$2</definedName>
    <definedName function="false" hidden="true" localSheetId="0" name="solver_prng" vbProcedure="false">1</definedName>
    <definedName function="false" hidden="true" localSheetId="0" name="solver_rel1" vbProcedure="false">4</definedName>
    <definedName function="false" hidden="true" localSheetId="0" name="solver_rel2" vbProcedure="false">4</definedName>
    <definedName function="false" hidden="true" localSheetId="0" name="solver_rsp" vbProcedure="false">0</definedName>
    <definedName function="false" hidden="true" localSheetId="0" name="solver_slim" vbProcedure="false">70</definedName>
    <definedName function="false" hidden="true" localSheetId="0" name="solver_smax" vbProcedure="false">0.5</definedName>
    <definedName function="false" hidden="true" localSheetId="0" name="solver_smin" vbProcedure="false">0.5</definedName>
    <definedName function="false" hidden="true" localSheetId="0" name="solver_soc" vbProcedure="false">1.494</definedName>
    <definedName function="false" hidden="true" localSheetId="0" name="solver_ssz" vbProcedure="false">70</definedName>
    <definedName function="false" hidden="true" localSheetId="0" name="solver_stol" vbProcedure="false">0.000001</definedName>
    <definedName function="false" hidden="true" localSheetId="0" name="solver_tim" vbProcedure="false">100</definedName>
    <definedName function="false" hidden="true" localSheetId="0" name="solver_typ" vbProcedure="false">1</definedName>
    <definedName function="false" hidden="true" localSheetId="0" name="solver_vrt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<sst xmlns="http://schemas.openxmlformats.org/spreadsheetml/2006/main" count="10" uniqueCount="10">
  <si>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</si>
  <si>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</si>
  <si>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</si>
  <si>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Время начала</t>
  </si>
  <si>
    <t xml:space="preserve">Время окончания</t>
  </si>
  <si>
    <t xml:space="preserve">t</t>
  </si>
  <si>
    <t xml:space="preserve">n</t>
  </si>
  <si>
    <t xml:space="preserve">lenn</t>
  </si>
  <si>
    <t xml:space="preserve">maxn</t>
  </si>
  <si>
    <t xml:space="preserve">maxlen5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</si>
</sst>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4" activeCellId="0" sqref="14:14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3.42"/>
    <col collapsed="false" customWidth="true" hidden="false" outlineLevel="0" max="2" min="2" style="0" width="34.14"/>
    <col collapsed="false" customWidth="true" hidden="false" outlineLevel="0" max="3" min="3" style="0" width="14.71"/>
    <col collapsed="false" customWidth="true" hidden="false" outlineLevel="0" max="5" min="5" style="0" width="11.15"/>
    <col collapsed="false" customWidth="true" hidden="false" outlineLevel="0" max="6" min="6" style="0" width="10.92"/>
    <col collapsed="false" customWidth="true" hidden="false" outlineLevel="0" max="7" min="7" style="0" width="13.16"/>
    <col collapsed="false" customWidth="true" hidden="false" outlineLevel="0" max="8" min="8" style="0" width="16.57"/>
    <col collapsed="false" customWidth="true" hidden="false" outlineLevel="0" max="15" min="15" style="0" width="3.61"/>
    <col collapsed="false" customWidth="true" hidden="false" outlineLevel="0" max="16" min="16" style="0" width="3.7"/>
    <col collapsed="false" customWidth="true" hidden="false" outlineLevel="0" max="50" min="17" style="0" width="3.6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G1" s="0" t="s">
        <v>3</v>
      </c>
      <c r="H1" s="0" t="s">
        <v>4</v>
      </c>
      <c r="J1" s="0" t="s">
        <v>5</v>
      </c>
      <c r="K1" s="0" t="s">
        <v>6</v>
      </c>
      <c r="L1" s="0" t="s">
        <v>7</v>
      </c>
      <c r="M1" s="0" t="s">
        <v>8</v>
      </c>
      <c r="N1" s="0" t="s">
        <v>9</v>
      </c>
    </row>
    <row r="2" customFormat="false" ht="13.8" hidden="false" customHeight="false" outlineLevel="0" collapsed="false">
      <c r="A2" s="1" t="n">
        <v>-2</v>
      </c>
      <c r="B2" s="1"/>
      <c r="C2" s="1"/>
      <c r="H2" s="0" t="n">
        <v>9</v>
      </c>
      <c r="J2" s="0" t="n">
        <v>1</v>
      </c>
      <c r="K2" s="0" t="n">
        <f aca="false">SUMPRODUCT(G$5:G$17&lt;=J2,J2&lt;H$5:H$17)</f>
        <v>2</v>
      </c>
      <c r="L2" s="0" t="n">
        <v>1</v>
      </c>
      <c r="M2" s="0" t="n">
        <f aca="false">MAX($K$2:$K$27)</f>
        <v>5</v>
      </c>
      <c r="N2" s="0" t="n">
        <f aca="false">MAX(L2:L27)</f>
        <v>6</v>
      </c>
      <c r="R2" s="0" t="n">
        <v>0</v>
      </c>
      <c r="S2" s="0" t="n">
        <v>1</v>
      </c>
      <c r="T2" s="0" t="n">
        <v>2</v>
      </c>
      <c r="U2" s="0" t="n">
        <v>3</v>
      </c>
      <c r="V2" s="0" t="n">
        <v>4</v>
      </c>
      <c r="W2" s="0" t="n">
        <v>5</v>
      </c>
      <c r="X2" s="0" t="n">
        <v>6</v>
      </c>
    </row>
    <row r="3" customFormat="false" ht="13.8" hidden="false" customHeight="false" outlineLevel="0" collapsed="false">
      <c r="A3" s="1" t="n">
        <v>-1</v>
      </c>
      <c r="B3" s="1"/>
      <c r="C3" s="1"/>
      <c r="H3" s="0" t="n">
        <v>0</v>
      </c>
      <c r="J3" s="0" t="n">
        <v>2</v>
      </c>
      <c r="K3" s="0" t="n">
        <f aca="false">SUMPRODUCT(G$5:G$17&lt;=J3,J3&lt;H$5:H$17)</f>
        <v>2</v>
      </c>
      <c r="L3" s="0" t="n">
        <f aca="false">IF(K3=K2,L2+1,1)</f>
        <v>2</v>
      </c>
      <c r="Q3" s="0" t="n">
        <v>0</v>
      </c>
      <c r="R3" s="0" t="n">
        <f aca="false">TABLE($M$2,$H$3,$Q3,$H$2,R$2)</f>
        <v>13</v>
      </c>
      <c r="S3" s="0" t="n">
        <f aca="false">TABLE($M$2,$H$3,$Q3,$H$2,S$2)</f>
        <v>13</v>
      </c>
      <c r="T3" s="0" t="n">
        <f aca="false">TABLE($M$2,$H$3,$Q3,$H$2,T$2)</f>
        <v>13</v>
      </c>
      <c r="U3" s="0" t="n">
        <f aca="false">TABLE($M$2,$H$3,$Q3,$H$2,U$2)</f>
        <v>13</v>
      </c>
      <c r="V3" s="0" t="n">
        <f aca="false">TABLE($M$2,$H$3,$Q3,$H$2,V$2)</f>
        <v>13</v>
      </c>
      <c r="W3" s="0" t="n">
        <f aca="false">TABLE($M$2,$H$3,$Q3,$H$2,W$2)</f>
        <v>13</v>
      </c>
      <c r="X3" s="0" t="n">
        <f aca="false">TABLE($M$2,$H$3,$Q3,$H$2,X$2)</f>
        <v>13</v>
      </c>
    </row>
    <row r="4" customFormat="false" ht="13.8" hidden="false" customHeight="false" outlineLevel="0" collapsed="false">
      <c r="A4" s="1" t="n">
        <v>0</v>
      </c>
      <c r="B4" s="1"/>
      <c r="C4" s="1"/>
      <c r="H4" s="0" t="n">
        <v>0</v>
      </c>
      <c r="J4" s="0" t="n">
        <v>3</v>
      </c>
      <c r="K4" s="0" t="n">
        <f aca="false">SUMPRODUCT(G$5:G$17&lt;=J4,J4&lt;H$5:H$17)</f>
        <v>2</v>
      </c>
      <c r="L4" s="0" t="n">
        <f aca="false">IF(K4=K3,L3+1,1)</f>
        <v>3</v>
      </c>
      <c r="Q4" s="0" t="n">
        <v>1</v>
      </c>
      <c r="R4" s="0" t="n">
        <f aca="false">TABLE($M$2,$H$3,$Q4,$H$2,R$2)</f>
        <v>13</v>
      </c>
      <c r="S4" s="0" t="n">
        <f aca="false">TABLE($M$2,$H$3,$Q4,$H$2,S$2)</f>
        <v>13</v>
      </c>
      <c r="T4" s="0" t="n">
        <f aca="false">TABLE($M$2,$H$3,$Q4,$H$2,T$2)</f>
        <v>13</v>
      </c>
      <c r="U4" s="0" t="n">
        <f aca="false">TABLE($M$2,$H$3,$Q4,$H$2,U$2)</f>
        <v>13</v>
      </c>
      <c r="V4" s="0" t="n">
        <f aca="false">TABLE($M$2,$H$3,$Q4,$H$2,V$2)</f>
        <v>13</v>
      </c>
      <c r="W4" s="0" t="n">
        <f aca="false">TABLE($M$2,$H$3,$Q4,$H$2,W$2)</f>
        <v>13</v>
      </c>
      <c r="X4" s="0" t="n">
        <f aca="false">TABLE($M$2,$H$3,$Q4,$H$2,X$2)</f>
        <v>13</v>
      </c>
    </row>
    <row r="5" customFormat="false" ht="13.8" hidden="false" customHeight="false" outlineLevel="0" collapsed="false">
      <c r="A5" s="1" t="n">
        <v>101</v>
      </c>
      <c r="B5" s="1" t="n">
        <v>7</v>
      </c>
      <c r="C5" s="1" t="n">
        <v>0</v>
      </c>
      <c r="E5" s="2" t="n">
        <f aca="false">IFERROR(VLOOKUP(C5,$A$2:$H$17,8),0)</f>
        <v>0</v>
      </c>
      <c r="F5" s="2" t="n">
        <f aca="false">IFERROR(VLOOKUP(D5,$A$2:$H$17,8),0)</f>
        <v>0</v>
      </c>
      <c r="G5" s="0" t="n">
        <f aca="false">MAX(E5:F5)</f>
        <v>0</v>
      </c>
      <c r="H5" s="0" t="n">
        <f aca="false">G5+B5</f>
        <v>7</v>
      </c>
      <c r="J5" s="0" t="n">
        <v>4</v>
      </c>
      <c r="K5" s="0" t="n">
        <f aca="false">SUMPRODUCT(G$5:G$17&lt;=J5,J5&lt;H$5:H$17)</f>
        <v>2</v>
      </c>
      <c r="L5" s="0" t="n">
        <f aca="false">IF(K5=K4,L4+1,1)</f>
        <v>4</v>
      </c>
      <c r="Q5" s="0" t="n">
        <v>2</v>
      </c>
      <c r="R5" s="0" t="n">
        <f aca="false">TABLE($M$2,$H$3,$Q5,$H$2,R$2)</f>
        <v>13</v>
      </c>
      <c r="S5" s="0" t="n">
        <f aca="false">TABLE($M$2,$H$3,$Q5,$H$2,S$2)</f>
        <v>13</v>
      </c>
      <c r="T5" s="0" t="n">
        <f aca="false">TABLE($M$2,$H$3,$Q5,$H$2,T$2)</f>
        <v>13</v>
      </c>
      <c r="U5" s="0" t="n">
        <f aca="false">TABLE($M$2,$H$3,$Q5,$H$2,U$2)</f>
        <v>13</v>
      </c>
      <c r="V5" s="0" t="n">
        <f aca="false">TABLE($M$2,$H$3,$Q5,$H$2,V$2)</f>
        <v>13</v>
      </c>
      <c r="W5" s="0" t="n">
        <f aca="false">TABLE($M$2,$H$3,$Q5,$H$2,W$2)</f>
        <v>13</v>
      </c>
      <c r="X5" s="0" t="n">
        <f aca="false">TABLE($M$2,$H$3,$Q5,$H$2,X$2)</f>
        <v>13</v>
      </c>
    </row>
    <row r="6" customFormat="false" ht="13.8" hidden="false" customHeight="false" outlineLevel="0" collapsed="false">
      <c r="A6" s="1" t="n">
        <v>102</v>
      </c>
      <c r="B6" s="1" t="n">
        <v>6</v>
      </c>
      <c r="C6" s="1" t="n">
        <v>101</v>
      </c>
      <c r="E6" s="2" t="n">
        <f aca="false">IFERROR(VLOOKUP(C6,$A$2:$H$17,8),0)</f>
        <v>7</v>
      </c>
      <c r="F6" s="2" t="n">
        <f aca="false">IFERROR(VLOOKUP(D6,$A$2:$H$17,8),0)</f>
        <v>0</v>
      </c>
      <c r="G6" s="0" t="n">
        <f aca="false">MAX(E6:F6)</f>
        <v>7</v>
      </c>
      <c r="H6" s="0" t="n">
        <f aca="false">G6+B6</f>
        <v>13</v>
      </c>
      <c r="J6" s="0" t="n">
        <v>5</v>
      </c>
      <c r="K6" s="0" t="n">
        <f aca="false">SUMPRODUCT(G$5:G$17&lt;=J6,J6&lt;H$5:H$17)</f>
        <v>2</v>
      </c>
      <c r="L6" s="0" t="n">
        <f aca="false">IF(K6=K5,L5+1,1)</f>
        <v>5</v>
      </c>
      <c r="Q6" s="0" t="n">
        <v>3</v>
      </c>
      <c r="R6" s="0" t="n">
        <f aca="false">TABLE($M$2,$H$3,$Q6,$H$2,R$2)</f>
        <v>13</v>
      </c>
      <c r="S6" s="0" t="n">
        <f aca="false">TABLE($M$2,$H$3,$Q6,$H$2,S$2)</f>
        <v>13</v>
      </c>
      <c r="T6" s="0" t="n">
        <f aca="false">TABLE($M$2,$H$3,$Q6,$H$2,T$2)</f>
        <v>13</v>
      </c>
      <c r="U6" s="0" t="n">
        <f aca="false">TABLE($M$2,$H$3,$Q6,$H$2,U$2)</f>
        <v>13</v>
      </c>
      <c r="V6" s="0" t="n">
        <f aca="false">TABLE($M$2,$H$3,$Q6,$H$2,V$2)</f>
        <v>13</v>
      </c>
      <c r="W6" s="0" t="n">
        <f aca="false">TABLE($M$2,$H$3,$Q6,$H$2,W$2)</f>
        <v>13</v>
      </c>
      <c r="X6" s="0" t="n">
        <f aca="false">TABLE($M$2,$H$3,$Q6,$H$2,X$2)</f>
        <v>13</v>
      </c>
    </row>
    <row r="7" customFormat="false" ht="13.8" hidden="false" customHeight="false" outlineLevel="0" collapsed="false">
      <c r="A7" s="1" t="n">
        <v>103</v>
      </c>
      <c r="B7" s="1" t="n">
        <v>6</v>
      </c>
      <c r="C7" s="1" t="n">
        <v>102</v>
      </c>
      <c r="D7" s="0" t="n">
        <v>101</v>
      </c>
      <c r="E7" s="2" t="n">
        <f aca="false">IFERROR(VLOOKUP(C7,$A$2:$H$17,8),0)</f>
        <v>13</v>
      </c>
      <c r="F7" s="2" t="n">
        <f aca="false">IFERROR(VLOOKUP(D7,$A$2:$H$17,8),0)</f>
        <v>7</v>
      </c>
      <c r="G7" s="0" t="n">
        <f aca="false">MAX(E7:F7)</f>
        <v>13</v>
      </c>
      <c r="H7" s="0" t="n">
        <f aca="false">G7+B7</f>
        <v>19</v>
      </c>
      <c r="J7" s="0" t="n">
        <v>6</v>
      </c>
      <c r="K7" s="0" t="n">
        <f aca="false">SUMPRODUCT(G$5:G$17&lt;=J7,J7&lt;H$5:H$17)</f>
        <v>2</v>
      </c>
      <c r="L7" s="0" t="n">
        <f aca="false">IF(K7=K6,L6+1,1)</f>
        <v>6</v>
      </c>
      <c r="Q7" s="0" t="n">
        <v>4</v>
      </c>
      <c r="R7" s="0" t="n">
        <f aca="false">TABLE($M$2,$H$3,$Q7,$H$2,R$2)</f>
        <v>13</v>
      </c>
      <c r="S7" s="0" t="n">
        <f aca="false">TABLE($M$2,$H$3,$Q7,$H$2,S$2)</f>
        <v>13</v>
      </c>
      <c r="T7" s="0" t="n">
        <f aca="false">TABLE($M$2,$H$3,$Q7,$H$2,T$2)</f>
        <v>13</v>
      </c>
      <c r="U7" s="0" t="n">
        <f aca="false">TABLE($M$2,$H$3,$Q7,$H$2,U$2)</f>
        <v>13</v>
      </c>
      <c r="V7" s="0" t="n">
        <f aca="false">TABLE($M$2,$H$3,$Q7,$H$2,V$2)</f>
        <v>13</v>
      </c>
      <c r="W7" s="0" t="n">
        <f aca="false">TABLE($M$2,$H$3,$Q7,$H$2,W$2)</f>
        <v>13</v>
      </c>
      <c r="X7" s="0" t="n">
        <f aca="false">TABLE($M$2,$H$3,$Q7,$H$2,X$2)</f>
        <v>13</v>
      </c>
    </row>
    <row r="8" customFormat="false" ht="13.8" hidden="false" customHeight="false" outlineLevel="0" collapsed="false">
      <c r="A8" s="1" t="n">
        <v>104</v>
      </c>
      <c r="B8" s="1" t="n">
        <v>7</v>
      </c>
      <c r="C8" s="1" t="n">
        <v>102</v>
      </c>
      <c r="E8" s="2" t="n">
        <f aca="false">IFERROR(VLOOKUP(C8,$A$2:$H$17,8),0)</f>
        <v>13</v>
      </c>
      <c r="F8" s="2" t="n">
        <f aca="false">IFERROR(VLOOKUP(D8,$A$2:$H$17,8),0)</f>
        <v>0</v>
      </c>
      <c r="G8" s="0" t="n">
        <f aca="false">MAX(E8:F8)</f>
        <v>13</v>
      </c>
      <c r="H8" s="0" t="n">
        <f aca="false">G8+B8</f>
        <v>20</v>
      </c>
      <c r="J8" s="0" t="n">
        <v>7</v>
      </c>
      <c r="K8" s="0" t="n">
        <f aca="false">SUMPRODUCT(G$5:G$17&lt;=J8,J8&lt;H$5:H$17)</f>
        <v>1</v>
      </c>
      <c r="L8" s="0" t="n">
        <f aca="false">IF(K8=K7,L7+1,1)</f>
        <v>1</v>
      </c>
      <c r="Q8" s="0" t="n">
        <v>5</v>
      </c>
      <c r="R8" s="0" t="n">
        <f aca="false">TABLE($M$2,$H$3,$Q8,$H$2,R$2)</f>
        <v>13</v>
      </c>
      <c r="S8" s="0" t="n">
        <f aca="false">TABLE($M$2,$H$3,$Q8,$H$2,S$2)</f>
        <v>13</v>
      </c>
      <c r="T8" s="0" t="n">
        <f aca="false">TABLE($M$2,$H$3,$Q8,$H$2,T$2)</f>
        <v>13</v>
      </c>
      <c r="U8" s="0" t="n">
        <f aca="false">TABLE($M$2,$H$3,$Q8,$H$2,U$2)</f>
        <v>13</v>
      </c>
      <c r="V8" s="0" t="n">
        <f aca="false">TABLE($M$2,$H$3,$Q8,$H$2,V$2)</f>
        <v>13</v>
      </c>
      <c r="W8" s="0" t="n">
        <f aca="false">TABLE($M$2,$H$3,$Q8,$H$2,W$2)</f>
        <v>13</v>
      </c>
      <c r="X8" s="0" t="n">
        <f aca="false">TABLE($M$2,$H$3,$Q8,$H$2,X$2)</f>
        <v>13</v>
      </c>
    </row>
    <row r="9" customFormat="false" ht="13.8" hidden="false" customHeight="false" outlineLevel="0" collapsed="false">
      <c r="A9" s="1" t="n">
        <v>105</v>
      </c>
      <c r="B9" s="1" t="n">
        <v>6</v>
      </c>
      <c r="C9" s="1" t="n">
        <v>104</v>
      </c>
      <c r="E9" s="2" t="n">
        <f aca="false">IFERROR(VLOOKUP(C9,$A$2:$H$17,8),0)</f>
        <v>20</v>
      </c>
      <c r="F9" s="2" t="n">
        <f aca="false">IFERROR(VLOOKUP(D9,$A$2:$H$17,8),0)</f>
        <v>0</v>
      </c>
      <c r="G9" s="0" t="n">
        <f aca="false">MAX(E9:F9)</f>
        <v>20</v>
      </c>
      <c r="H9" s="0" t="n">
        <f aca="false">G9+B9</f>
        <v>26</v>
      </c>
      <c r="J9" s="0" t="n">
        <v>8</v>
      </c>
      <c r="K9" s="0" t="n">
        <f aca="false">SUMPRODUCT(G$5:G$17&lt;=J9,J9&lt;H$5:H$17)</f>
        <v>1</v>
      </c>
      <c r="L9" s="0" t="n">
        <f aca="false">IF(K9=K8,L8+1,1)</f>
        <v>2</v>
      </c>
      <c r="Q9" s="0" t="n">
        <v>6</v>
      </c>
      <c r="R9" s="0" t="n">
        <f aca="false">TABLE($M$2,$H$3,$Q9,$H$2,R$2)</f>
        <v>13</v>
      </c>
      <c r="S9" s="0" t="n">
        <f aca="false">TABLE($M$2,$H$3,$Q9,$H$2,S$2)</f>
        <v>13</v>
      </c>
      <c r="T9" s="0" t="n">
        <f aca="false">TABLE($M$2,$H$3,$Q9,$H$2,T$2)</f>
        <v>13</v>
      </c>
      <c r="U9" s="0" t="n">
        <f aca="false">TABLE($M$2,$H$3,$Q9,$H$2,U$2)</f>
        <v>13</v>
      </c>
      <c r="V9" s="0" t="n">
        <f aca="false">TABLE($M$2,$H$3,$Q9,$H$2,V$2)</f>
        <v>13</v>
      </c>
      <c r="W9" s="0" t="n">
        <f aca="false">TABLE($M$2,$H$3,$Q9,$H$2,W$2)</f>
        <v>13</v>
      </c>
      <c r="X9" s="0" t="n">
        <f aca="false">TABLE($M$2,$H$3,$Q9,$H$2,X$2)</f>
        <v>13</v>
      </c>
    </row>
    <row r="10" customFormat="false" ht="13.8" hidden="false" customHeight="false" outlineLevel="0" collapsed="false">
      <c r="A10" s="1" t="n">
        <v>106</v>
      </c>
      <c r="B10" s="1" t="n">
        <v>10</v>
      </c>
      <c r="C10" s="1" t="n">
        <v>102</v>
      </c>
      <c r="E10" s="2" t="n">
        <f aca="false">IFERROR(VLOOKUP(C10,$A$2:$H$17,8),0)</f>
        <v>13</v>
      </c>
      <c r="F10" s="2" t="n">
        <f aca="false">IFERROR(VLOOKUP(D10,$A$2:$H$17,8),0)</f>
        <v>0</v>
      </c>
      <c r="G10" s="0" t="n">
        <f aca="false">MAX(E10:F10)</f>
        <v>13</v>
      </c>
      <c r="H10" s="0" t="n">
        <f aca="false">G10+B10</f>
        <v>23</v>
      </c>
      <c r="J10" s="0" t="n">
        <v>9</v>
      </c>
      <c r="K10" s="0" t="n">
        <f aca="false">SUMPRODUCT(G$5:G$17&lt;=J10,J10&lt;H$5:H$17)</f>
        <v>2</v>
      </c>
      <c r="L10" s="0" t="n">
        <f aca="false">IF(K10=K9,L9+1,1)</f>
        <v>1</v>
      </c>
    </row>
    <row r="11" customFormat="false" ht="13.8" hidden="false" customHeight="false" outlineLevel="0" collapsed="false">
      <c r="A11" s="1" t="n">
        <v>107</v>
      </c>
      <c r="B11" s="1" t="n">
        <v>7</v>
      </c>
      <c r="C11" s="1" t="n">
        <v>-1</v>
      </c>
      <c r="E11" s="2" t="n">
        <f aca="false">IFERROR(VLOOKUP(C11,$A$2:$H$17,8),0)</f>
        <v>0</v>
      </c>
      <c r="F11" s="2" t="n">
        <f aca="false">IFERROR(VLOOKUP(D11,$A$2:$H$17,8),0)</f>
        <v>0</v>
      </c>
      <c r="G11" s="0" t="n">
        <f aca="false">MAX(E11:F11)</f>
        <v>0</v>
      </c>
      <c r="H11" s="0" t="n">
        <f aca="false">G11+B11</f>
        <v>7</v>
      </c>
      <c r="J11" s="0" t="n">
        <v>10</v>
      </c>
      <c r="K11" s="0" t="n">
        <f aca="false">SUMPRODUCT(G$5:G$17&lt;=J11,J11&lt;H$5:H$17)</f>
        <v>2</v>
      </c>
      <c r="L11" s="0" t="n">
        <f aca="false">IF(K11=K10,L10+1,1)</f>
        <v>2</v>
      </c>
    </row>
    <row r="12" customFormat="false" ht="13.8" hidden="false" customHeight="false" outlineLevel="0" collapsed="false">
      <c r="A12" s="1" t="n">
        <v>108</v>
      </c>
      <c r="B12" s="1" t="n">
        <v>2</v>
      </c>
      <c r="C12" s="1" t="n">
        <v>104</v>
      </c>
      <c r="D12" s="0" t="n">
        <v>107</v>
      </c>
      <c r="E12" s="2" t="n">
        <f aca="false">IFERROR(VLOOKUP(C12,$A$2:$H$17,8),0)</f>
        <v>20</v>
      </c>
      <c r="F12" s="2" t="n">
        <f aca="false">IFERROR(VLOOKUP(D12,$A$2:$H$17,8),0)</f>
        <v>7</v>
      </c>
      <c r="G12" s="0" t="n">
        <f aca="false">MAX(E12:F12)</f>
        <v>20</v>
      </c>
      <c r="H12" s="0" t="n">
        <f aca="false">G12+B12</f>
        <v>22</v>
      </c>
      <c r="J12" s="0" t="n">
        <v>11</v>
      </c>
      <c r="K12" s="0" t="n">
        <f aca="false">SUMPRODUCT(G$5:G$17&lt;=J12,J12&lt;H$5:H$17)</f>
        <v>2</v>
      </c>
      <c r="L12" s="0" t="n">
        <f aca="false">IF(K12=K11,L11+1,1)</f>
        <v>3</v>
      </c>
    </row>
    <row r="13" customFormat="false" ht="13.8" hidden="false" customHeight="false" outlineLevel="0" collapsed="false">
      <c r="A13" s="1" t="n">
        <v>109</v>
      </c>
      <c r="B13" s="1" t="n">
        <v>4</v>
      </c>
      <c r="C13" s="1" t="n">
        <v>-2</v>
      </c>
      <c r="E13" s="2" t="n">
        <f aca="false">IFERROR(VLOOKUP(C13,$A$2:$H$17,8),0)</f>
        <v>9</v>
      </c>
      <c r="F13" s="2" t="n">
        <f aca="false">IFERROR(VLOOKUP(D13,$A$2:$H$17,8),0)</f>
        <v>0</v>
      </c>
      <c r="G13" s="0" t="n">
        <f aca="false">MAX(E13:F13)</f>
        <v>9</v>
      </c>
      <c r="H13" s="0" t="n">
        <f aca="false">G13+B13</f>
        <v>13</v>
      </c>
      <c r="J13" s="0" t="n">
        <v>12</v>
      </c>
      <c r="K13" s="0" t="n">
        <f aca="false">SUMPRODUCT(G$5:G$17&lt;=J13,J13&lt;H$5:H$17)</f>
        <v>2</v>
      </c>
      <c r="L13" s="0" t="n">
        <f aca="false">IF(K13=K12,L12+1,1)</f>
        <v>4</v>
      </c>
    </row>
    <row r="14" customFormat="false" ht="13.8" hidden="false" customHeight="false" outlineLevel="0" collapsed="false">
      <c r="A14" s="1" t="n">
        <v>110</v>
      </c>
      <c r="B14" s="1" t="n">
        <v>8</v>
      </c>
      <c r="C14" s="1" t="n">
        <v>107</v>
      </c>
      <c r="D14" s="0" t="n">
        <v>102</v>
      </c>
      <c r="E14" s="2" t="n">
        <f aca="false">IFERROR(VLOOKUP(C14,$A$2:$H$17,8),0)</f>
        <v>7</v>
      </c>
      <c r="F14" s="2" t="n">
        <f aca="false">IFERROR(VLOOKUP(D14,$A$2:$H$17,8),0)</f>
        <v>13</v>
      </c>
      <c r="G14" s="0" t="n">
        <f aca="false">MAX(E14:F14)</f>
        <v>13</v>
      </c>
      <c r="H14" s="0" t="n">
        <f aca="false">G14+B14</f>
        <v>21</v>
      </c>
      <c r="J14" s="0" t="n">
        <v>13</v>
      </c>
      <c r="K14" s="0" t="n">
        <f aca="false">SUMPRODUCT(G$5:G$17&lt;=J14,J14&lt;H$5:H$17)</f>
        <v>5</v>
      </c>
      <c r="L14" s="0" t="n">
        <f aca="false">IF(K14=K13,L13+1,1)</f>
        <v>1</v>
      </c>
    </row>
    <row r="15" customFormat="false" ht="13.8" hidden="false" customHeight="false" outlineLevel="0" collapsed="false">
      <c r="A15" s="1" t="n">
        <v>111</v>
      </c>
      <c r="B15" s="1" t="n">
        <v>2</v>
      </c>
      <c r="C15" s="1" t="n">
        <v>106</v>
      </c>
      <c r="D15" s="0" t="n">
        <v>108</v>
      </c>
      <c r="E15" s="2" t="n">
        <f aca="false">IFERROR(VLOOKUP(C15,$A$2:$H$17,8),0)</f>
        <v>23</v>
      </c>
      <c r="F15" s="2" t="n">
        <f aca="false">IFERROR(VLOOKUP(D15,$A$2:$H$17,8),0)</f>
        <v>22</v>
      </c>
      <c r="G15" s="0" t="n">
        <f aca="false">MAX(E15:F15)</f>
        <v>23</v>
      </c>
      <c r="H15" s="0" t="n">
        <f aca="false">G15+B15</f>
        <v>25</v>
      </c>
      <c r="J15" s="0" t="n">
        <v>14</v>
      </c>
      <c r="K15" s="0" t="n">
        <f aca="false">SUMPRODUCT(G$5:G$17&lt;=J15,J15&lt;H$5:H$17)</f>
        <v>5</v>
      </c>
      <c r="L15" s="0" t="n">
        <f aca="false">IF(K15=K14,L14+1,1)</f>
        <v>2</v>
      </c>
    </row>
    <row r="16" customFormat="false" ht="13.8" hidden="false" customHeight="false" outlineLevel="0" collapsed="false">
      <c r="A16" s="1" t="n">
        <v>112</v>
      </c>
      <c r="B16" s="1" t="n">
        <v>9</v>
      </c>
      <c r="C16" s="1" t="n">
        <v>109</v>
      </c>
      <c r="D16" s="0" t="n">
        <v>101</v>
      </c>
      <c r="E16" s="2" t="n">
        <f aca="false">IFERROR(VLOOKUP(C16,$A$2:$H$17,8),0)</f>
        <v>13</v>
      </c>
      <c r="F16" s="2" t="n">
        <f aca="false">IFERROR(VLOOKUP(D16,$A$2:$H$17,8),0)</f>
        <v>7</v>
      </c>
      <c r="G16" s="0" t="n">
        <f aca="false">MAX(E16:F16)</f>
        <v>13</v>
      </c>
      <c r="H16" s="0" t="n">
        <f aca="false">G16+B16</f>
        <v>22</v>
      </c>
      <c r="J16" s="0" t="n">
        <v>15</v>
      </c>
      <c r="K16" s="0" t="n">
        <f aca="false">SUMPRODUCT(G$5:G$17&lt;=J16,J16&lt;H$5:H$17)</f>
        <v>5</v>
      </c>
      <c r="L16" s="0" t="n">
        <f aca="false">IF(K16=K15,L15+1,1)</f>
        <v>3</v>
      </c>
    </row>
    <row r="17" customFormat="false" ht="13.8" hidden="false" customHeight="false" outlineLevel="0" collapsed="false">
      <c r="A17" s="1" t="n">
        <v>113</v>
      </c>
      <c r="B17" s="1" t="n">
        <v>2</v>
      </c>
      <c r="C17" s="1" t="n">
        <v>103</v>
      </c>
      <c r="D17" s="0" t="n">
        <v>110</v>
      </c>
      <c r="E17" s="2" t="n">
        <f aca="false">IFERROR(VLOOKUP(C17,$A$2:$H$17,8),0)</f>
        <v>19</v>
      </c>
      <c r="F17" s="2" t="n">
        <f aca="false">IFERROR(VLOOKUP(D17,$A$2:$H$17,8),0)</f>
        <v>21</v>
      </c>
      <c r="G17" s="0" t="n">
        <f aca="false">MAX(E17:F17)</f>
        <v>21</v>
      </c>
      <c r="H17" s="0" t="n">
        <f aca="false">G17+B17</f>
        <v>23</v>
      </c>
      <c r="J17" s="0" t="n">
        <v>16</v>
      </c>
      <c r="K17" s="0" t="n">
        <f aca="false">SUMPRODUCT(G$5:G$17&lt;=J17,J17&lt;H$5:H$17)</f>
        <v>5</v>
      </c>
      <c r="L17" s="0" t="n">
        <f aca="false">IF(K17=K16,L16+1,1)</f>
        <v>4</v>
      </c>
    </row>
    <row r="18" customFormat="false" ht="13.8" hidden="false" customHeight="false" outlineLevel="0" collapsed="false">
      <c r="J18" s="0" t="n">
        <v>17</v>
      </c>
      <c r="K18" s="0" t="n">
        <f aca="false">SUMPRODUCT(G$5:G$17&lt;=J18,J18&lt;H$5:H$17)</f>
        <v>5</v>
      </c>
      <c r="L18" s="0" t="n">
        <f aca="false">IF(K18=K17,L17+1,1)</f>
        <v>5</v>
      </c>
    </row>
    <row r="19" customFormat="false" ht="13.8" hidden="false" customHeight="false" outlineLevel="0" collapsed="false">
      <c r="J19" s="0" t="n">
        <v>18</v>
      </c>
      <c r="K19" s="0" t="n">
        <f aca="false">SUMPRODUCT(G$5:G$17&lt;=J19,J19&lt;H$5:H$17)</f>
        <v>5</v>
      </c>
      <c r="L19" s="0" t="n">
        <f aca="false">IF(K19=K18,L18+1,1)</f>
        <v>6</v>
      </c>
    </row>
    <row r="20" customFormat="false" ht="13.8" hidden="false" customHeight="false" outlineLevel="0" collapsed="false">
      <c r="J20" s="0" t="n">
        <v>19</v>
      </c>
      <c r="K20" s="0" t="n">
        <f aca="false">SUMPRODUCT(G$5:G$17&lt;=J20,J20&lt;H$5:H$17)</f>
        <v>4</v>
      </c>
      <c r="L20" s="0" t="n">
        <f aca="false">IF(K20=K19,L19+1,1)</f>
        <v>1</v>
      </c>
    </row>
    <row r="21" customFormat="false" ht="13.8" hidden="false" customHeight="false" outlineLevel="0" collapsed="false">
      <c r="J21" s="0" t="n">
        <v>20</v>
      </c>
      <c r="K21" s="0" t="n">
        <f aca="false">SUMPRODUCT(G$5:G$17&lt;=J21,J21&lt;H$5:H$17)</f>
        <v>5</v>
      </c>
      <c r="L21" s="0" t="n">
        <f aca="false">IF(K21=K20,L20+1,1)</f>
        <v>1</v>
      </c>
    </row>
    <row r="22" customFormat="false" ht="13.8" hidden="false" customHeight="false" outlineLevel="0" collapsed="false">
      <c r="J22" s="0" t="n">
        <v>21</v>
      </c>
      <c r="K22" s="0" t="n">
        <f aca="false">SUMPRODUCT(G$5:G$17&lt;=J22,J22&lt;H$5:H$17)</f>
        <v>5</v>
      </c>
      <c r="L22" s="0" t="n">
        <f aca="false">IF(K22=K21,L21+1,1)</f>
        <v>2</v>
      </c>
    </row>
    <row r="23" customFormat="false" ht="13.8" hidden="false" customHeight="false" outlineLevel="0" collapsed="false">
      <c r="J23" s="0" t="n">
        <v>22</v>
      </c>
      <c r="K23" s="0" t="n">
        <f aca="false">SUMPRODUCT(G$5:G$17&lt;=J23,J23&lt;H$5:H$17)</f>
        <v>3</v>
      </c>
      <c r="L23" s="0" t="n">
        <f aca="false">IF(K23=K22,L22+1,1)</f>
        <v>1</v>
      </c>
    </row>
    <row r="24" customFormat="false" ht="13.8" hidden="false" customHeight="false" outlineLevel="0" collapsed="false">
      <c r="J24" s="0" t="n">
        <v>23</v>
      </c>
      <c r="K24" s="0" t="n">
        <f aca="false">SUMPRODUCT(G$5:G$17&lt;=J24,J24&lt;H$5:H$17)</f>
        <v>2</v>
      </c>
      <c r="L24" s="0" t="n">
        <f aca="false">IF(K24=K23,L23+1,1)</f>
        <v>1</v>
      </c>
    </row>
    <row r="25" customFormat="false" ht="13.8" hidden="false" customHeight="false" outlineLevel="0" collapsed="false">
      <c r="J25" s="0" t="n">
        <v>24</v>
      </c>
      <c r="K25" s="0" t="n">
        <f aca="false">SUMPRODUCT(G$5:G$17&lt;=J25,J25&lt;H$5:H$17)</f>
        <v>2</v>
      </c>
      <c r="L25" s="0" t="n">
        <f aca="false">IF(K25=K24,L24+1,1)</f>
        <v>2</v>
      </c>
    </row>
    <row r="26" customFormat="false" ht="13.8" hidden="false" customHeight="false" outlineLevel="0" collapsed="false">
      <c r="J26" s="0" t="n">
        <v>25</v>
      </c>
      <c r="K26" s="0" t="n">
        <f aca="false">SUMPRODUCT(G$5:G$17&lt;=J26,J26&lt;H$5:H$17)</f>
        <v>1</v>
      </c>
      <c r="L26" s="0" t="n">
        <f aca="false">IF(K26=K25,L25+1,1)</f>
        <v>1</v>
      </c>
    </row>
    <row r="27" customFormat="false" ht="13.8" hidden="false" customHeight="false" outlineLevel="0" collapsed="false">
      <c r="J27" s="0" t="n">
        <v>26</v>
      </c>
      <c r="K27" s="0" t="n">
        <f aca="false">SUMPRODUCT(G$5:G$17&lt;=J27,J27&lt;H$5:H$17)</f>
        <v>0</v>
      </c>
      <c r="L27" s="0" t="n">
        <f aca="false">IF(K27=K26,L26+1,1)</f>
        <v>1</v>
      </c>
    </row>
    <row r="28" customFormat="false" ht="13.8" hidden="false" customHeight="false" outlineLevel="0" collapsed="false">
      <c r="J28" s="0" t="n">
        <v>27</v>
      </c>
      <c r="K28" s="0" t="n">
        <f aca="false">SUMPRODUCT(G$5:G$17&lt;=J28,J28&lt;H$5:H$17)</f>
        <v>0</v>
      </c>
      <c r="L28" s="0" t="n">
        <f aca="false">IF(K28=K27,L27+1,1)</f>
        <v>2</v>
      </c>
    </row>
    <row r="29" customFormat="false" ht="13.8" hidden="false" customHeight="false" outlineLevel="0" collapsed="false">
      <c r="J29" s="0" t="n">
        <v>28</v>
      </c>
      <c r="K29" s="0" t="n">
        <f aca="false">SUMPRODUCT(G$5:G$17&lt;=J29,J29&lt;H$5:H$17)</f>
        <v>0</v>
      </c>
      <c r="L29" s="0" t="n">
        <f aca="false">IF(K29=K28,L28+1,1)</f>
        <v>3</v>
      </c>
    </row>
    <row r="30" customFormat="false" ht="13.8" hidden="false" customHeight="false" outlineLevel="0" collapsed="false">
      <c r="J30" s="0" t="n">
        <v>29</v>
      </c>
      <c r="K30" s="0" t="n">
        <f aca="false">SUMPRODUCT(G$5:G$17&lt;=J30,J30&lt;H$5:H$17)</f>
        <v>0</v>
      </c>
      <c r="L30" s="0" t="n">
        <f aca="false">IF(K30=K29,L29+1,1)</f>
        <v>4</v>
      </c>
    </row>
    <row r="31" customFormat="false" ht="13.8" hidden="false" customHeight="false" outlineLevel="0" collapsed="false">
      <c r="J31" s="0" t="n">
        <v>30</v>
      </c>
      <c r="K31" s="0" t="n">
        <f aca="false">SUMPRODUCT(G$5:G$17&lt;=J31,J31&lt;H$5:H$17)</f>
        <v>0</v>
      </c>
      <c r="L31" s="0" t="n">
        <f aca="false">IF(K31=K30,L30+1,1)</f>
        <v>5</v>
      </c>
    </row>
    <row r="32" customFormat="false" ht="13.8" hidden="false" customHeight="false" outlineLevel="0" collapsed="false">
      <c r="J32" s="0" t="n">
        <v>31</v>
      </c>
      <c r="K32" s="0" t="n">
        <f aca="false">SUMPRODUCT(G$5:G$17&lt;=J32,J32&lt;H$5:H$17)</f>
        <v>0</v>
      </c>
      <c r="L32" s="0" t="n">
        <f aca="false">IF(K32=K31,L31+1,1)</f>
        <v>6</v>
      </c>
    </row>
    <row r="33" customFormat="false" ht="13.8" hidden="false" customHeight="false" outlineLevel="0" collapsed="false">
      <c r="J33" s="0" t="n">
        <v>32</v>
      </c>
      <c r="K33" s="0" t="n">
        <f aca="false">SUMPRODUCT(G$5:G$17&lt;=J33,J33&lt;H$5:H$17)</f>
        <v>0</v>
      </c>
      <c r="L33" s="0" t="n">
        <f aca="false">IF(K33=K32,L32+1,1)</f>
        <v>7</v>
      </c>
    </row>
    <row r="34" customFormat="false" ht="13.8" hidden="false" customHeight="false" outlineLevel="0" collapsed="false">
      <c r="J34" s="0" t="n">
        <v>33</v>
      </c>
      <c r="K34" s="0" t="n">
        <f aca="false">SUMPRODUCT(G$5:G$17&lt;=J34,J34&lt;H$5:H$17)</f>
        <v>0</v>
      </c>
      <c r="L34" s="0" t="n">
        <f aca="false">IF(K34=K33,L33+1,1)</f>
        <v>8</v>
      </c>
    </row>
    <row r="35" customFormat="false" ht="13.8" hidden="false" customHeight="false" outlineLevel="0" collapsed="false">
      <c r="J35" s="0" t="n">
        <v>34</v>
      </c>
      <c r="K35" s="0" t="n">
        <f aca="false">SUMPRODUCT(G$5:G$17&lt;=J35,J35&lt;H$5:H$17)</f>
        <v>0</v>
      </c>
      <c r="L35" s="0" t="n">
        <f aca="false">IF(K35=K34,L34+1,1)</f>
        <v>9</v>
      </c>
    </row>
    <row r="36" customFormat="false" ht="13.8" hidden="false" customHeight="false" outlineLevel="0" collapsed="false">
      <c r="J36" s="0" t="n">
        <v>35</v>
      </c>
      <c r="K36" s="0" t="n">
        <f aca="false">SUMPRODUCT(G$5:G$17&lt;=J36,J36&lt;H$5:H$17)</f>
        <v>0</v>
      </c>
      <c r="L36" s="0" t="n">
        <f aca="false">IF(K36=K35,L35+1,1)</f>
        <v>10</v>
      </c>
    </row>
    <row r="37" customFormat="false" ht="13.8" hidden="false" customHeight="false" outlineLevel="0" collapsed="false">
      <c r="J37" s="0" t="n">
        <v>36</v>
      </c>
      <c r="K37" s="0" t="n">
        <f aca="false">SUMPRODUCT(G$5:G$17&lt;=J37,J37&lt;H$5:H$17)</f>
        <v>0</v>
      </c>
      <c r="L37" s="0" t="n">
        <f aca="false">IF(K37=K36,L36+1,1)</f>
        <v>11</v>
      </c>
    </row>
    <row r="38" customFormat="false" ht="13.8" hidden="false" customHeight="false" outlineLevel="0" collapsed="false">
      <c r="J38" s="0" t="n">
        <v>37</v>
      </c>
      <c r="K38" s="0" t="n">
        <f aca="false">SUMPRODUCT(G$5:G$17&lt;=J38,J38&lt;H$5:H$17)</f>
        <v>0</v>
      </c>
      <c r="L38" s="0" t="n">
        <f aca="false">IF(K38=K37,L37+1,1)</f>
        <v>12</v>
      </c>
    </row>
    <row r="39" customFormat="false" ht="13.8" hidden="false" customHeight="false" outlineLevel="0" collapsed="false">
      <c r="J39" s="0" t="n">
        <v>38</v>
      </c>
      <c r="K39" s="0" t="n">
        <f aca="false">SUMPRODUCT(G$5:G$17&lt;=J39,J39&lt;H$5:H$17)</f>
        <v>0</v>
      </c>
      <c r="L39" s="0" t="n">
        <f aca="false">IF(K39=K38,L38+1,1)</f>
        <v>13</v>
      </c>
    </row>
    <row r="40" customFormat="false" ht="13.8" hidden="false" customHeight="false" outlineLevel="0" collapsed="false">
      <c r="J40" s="0" t="n">
        <v>39</v>
      </c>
      <c r="K40" s="0" t="n">
        <f aca="false">SUMPRODUCT(G$5:G$17&lt;=J40,J40&lt;H$5:H$17)</f>
        <v>0</v>
      </c>
      <c r="L40" s="0" t="n">
        <f aca="false">IF(K40=K39,L39+1,1)</f>
        <v>14</v>
      </c>
    </row>
    <row r="41" customFormat="false" ht="13.8" hidden="false" customHeight="false" outlineLevel="0" collapsed="false">
      <c r="J41" s="0" t="n">
        <v>40</v>
      </c>
      <c r="K41" s="0" t="n">
        <f aca="false">SUMPRODUCT(G$5:G$17&lt;=J41,J41&lt;H$5:H$17)</f>
        <v>0</v>
      </c>
      <c r="L41" s="0" t="n">
        <f aca="false">IF(K41=K40,L40+1,1)</f>
        <v>15</v>
      </c>
    </row>
    <row r="42" customFormat="false" ht="13.8" hidden="false" customHeight="false" outlineLevel="0" collapsed="false">
      <c r="J42" s="0" t="n">
        <v>41</v>
      </c>
      <c r="K42" s="0" t="n">
        <f aca="false">SUMPRODUCT(G$5:G$17&lt;=J42,J42&lt;H$5:H$17)</f>
        <v>0</v>
      </c>
      <c r="L42" s="0" t="n">
        <f aca="false">IF(K42=K41,L41+1,1)</f>
        <v>16</v>
      </c>
    </row>
    <row r="43" customFormat="false" ht="13.8" hidden="false" customHeight="false" outlineLevel="0" collapsed="false">
      <c r="J43" s="0" t="n">
        <v>42</v>
      </c>
      <c r="K43" s="0" t="n">
        <f aca="false">SUMPRODUCT(G$5:G$17&lt;=J43,J43&lt;H$5:H$17)</f>
        <v>0</v>
      </c>
      <c r="L43" s="0" t="n">
        <f aca="false">IF(K43=K42,L42+1,1)</f>
        <v>17</v>
      </c>
    </row>
    <row r="44" customFormat="false" ht="13.8" hidden="false" customHeight="false" outlineLevel="0" collapsed="false">
      <c r="J44" s="0" t="n">
        <v>43</v>
      </c>
      <c r="K44" s="0" t="n">
        <f aca="false">SUMPRODUCT(G$5:G$17&lt;=J44,J44&lt;H$5:H$17)</f>
        <v>0</v>
      </c>
      <c r="L44" s="0" t="n">
        <f aca="false">IF(K44=K43,L43+1,1)</f>
        <v>18</v>
      </c>
    </row>
    <row r="45" customFormat="false" ht="13.8" hidden="false" customHeight="false" outlineLevel="0" collapsed="false">
      <c r="J45" s="0" t="n">
        <v>44</v>
      </c>
      <c r="K45" s="0" t="n">
        <f aca="false">SUMPRODUCT(G$5:G$17&lt;=J45,J45&lt;H$5:H$17)</f>
        <v>0</v>
      </c>
      <c r="L45" s="0" t="n">
        <f aca="false">IF(K45=K44,L44+1,1)</f>
        <v>19</v>
      </c>
    </row>
    <row r="46" customFormat="false" ht="13.8" hidden="false" customHeight="false" outlineLevel="0" collapsed="false">
      <c r="J46" s="0" t="n">
        <v>45</v>
      </c>
      <c r="K46" s="0" t="n">
        <f aca="false">SUMPRODUCT(G$5:G$17&lt;=J46,J46&lt;H$5:H$17)</f>
        <v>0</v>
      </c>
      <c r="L46" s="0" t="n">
        <f aca="false">IF(K46=K45,L45+1,1)</f>
        <v>20</v>
      </c>
    </row>
    <row r="47" customFormat="false" ht="13.8" hidden="false" customHeight="false" outlineLevel="0" collapsed="false">
      <c r="J47" s="0" t="n">
        <v>46</v>
      </c>
      <c r="K47" s="0" t="n">
        <f aca="false">SUMPRODUCT(G$5:G$17&lt;=J47,J47&lt;H$5:H$17)</f>
        <v>0</v>
      </c>
      <c r="L47" s="0" t="n">
        <f aca="false">IF(K47=K46,L46+1,1)</f>
        <v>21</v>
      </c>
    </row>
    <row r="48" customFormat="false" ht="13.8" hidden="false" customHeight="false" outlineLevel="0" collapsed="false">
      <c r="J48" s="0" t="n">
        <v>47</v>
      </c>
      <c r="K48" s="0" t="n">
        <f aca="false">SUMPRODUCT(G$5:G$17&lt;=J48,J48&lt;H$5:H$17)</f>
        <v>0</v>
      </c>
      <c r="L48" s="0" t="n">
        <f aca="false">IF(K48=K47,L47+1,1)</f>
        <v>22</v>
      </c>
    </row>
    <row r="49" customFormat="false" ht="13.8" hidden="false" customHeight="false" outlineLevel="0" collapsed="false">
      <c r="J49" s="0" t="n">
        <v>48</v>
      </c>
      <c r="K49" s="0" t="n">
        <f aca="false">SUMPRODUCT(G$5:G$17&lt;=J49,J49&lt;H$5:H$17)</f>
        <v>0</v>
      </c>
      <c r="L49" s="0" t="n">
        <f aca="false">IF(K49=K48,L48+1,1)</f>
        <v>23</v>
      </c>
    </row>
    <row r="50" customFormat="false" ht="13.8" hidden="false" customHeight="false" outlineLevel="0" collapsed="false">
      <c r="J50" s="0" t="n">
        <v>49</v>
      </c>
      <c r="K50" s="0" t="n">
        <f aca="false">SUMPRODUCT(G$5:G$17&lt;=J50,J50&lt;H$5:H$17)</f>
        <v>0</v>
      </c>
      <c r="L50" s="0" t="n">
        <f aca="false">IF(K50=K49,L49+1,1)</f>
        <v>24</v>
      </c>
    </row>
    <row r="51" customFormat="false" ht="13.8" hidden="false" customHeight="false" outlineLevel="0" collapsed="false">
      <c r="J51" s="0" t="n">
        <v>50</v>
      </c>
      <c r="K51" s="0" t="n">
        <f aca="false">SUMPRODUCT(G$5:G$17&lt;=J51,J51&lt;H$5:H$17)</f>
        <v>0</v>
      </c>
      <c r="L51" s="0" t="n">
        <f aca="false">IF(K51=K50,L50+1,1)</f>
        <v>25</v>
      </c>
    </row>
    <row r="52" customFormat="false" ht="13.8" hidden="false" customHeight="false" outlineLevel="0" collapsed="false">
      <c r="J52" s="0" t="n">
        <v>51</v>
      </c>
      <c r="K52" s="0" t="n">
        <f aca="false">SUMPRODUCT(G$5:G$17&lt;=J52,J52&lt;H$5:H$17)</f>
        <v>0</v>
      </c>
      <c r="L52" s="0" t="n">
        <f aca="false">IF(K52=K51,L51+1,1)</f>
        <v>26</v>
      </c>
    </row>
    <row r="53" customFormat="false" ht="13.8" hidden="false" customHeight="false" outlineLevel="0" collapsed="false">
      <c r="J53" s="0" t="n">
        <v>52</v>
      </c>
      <c r="K53" s="0" t="n">
        <f aca="false">SUMPRODUCT(G$5:G$17&lt;=J53,J53&lt;H$5:H$17)</f>
        <v>0</v>
      </c>
      <c r="L53" s="0" t="n">
        <f aca="false">IF(K53=K52,L52+1,1)</f>
        <v>27</v>
      </c>
    </row>
    <row r="54" customFormat="false" ht="13.8" hidden="false" customHeight="false" outlineLevel="0" collapsed="false">
      <c r="J54" s="0" t="n">
        <v>53</v>
      </c>
      <c r="K54" s="0" t="n">
        <f aca="false">SUMPRODUCT(G$5:G$17&lt;=J54,J54&lt;H$5:H$17)</f>
        <v>0</v>
      </c>
      <c r="L54" s="0" t="n">
        <f aca="false">IF(K54=K53,L53+1,1)</f>
        <v>28</v>
      </c>
    </row>
    <row r="55" customFormat="false" ht="13.8" hidden="false" customHeight="false" outlineLevel="0" collapsed="false">
      <c r="J55" s="0" t="n">
        <v>54</v>
      </c>
      <c r="K55" s="0" t="n">
        <f aca="false">SUMPRODUCT(G$5:G$17&lt;=J55,J55&lt;H$5:H$17)</f>
        <v>0</v>
      </c>
      <c r="L55" s="0" t="n">
        <f aca="false">IF(K55=K54,L54+1,1)</f>
        <v>29</v>
      </c>
    </row>
    <row r="56" customFormat="false" ht="13.8" hidden="false" customHeight="false" outlineLevel="0" collapsed="false">
      <c r="J56" s="0" t="n">
        <v>55</v>
      </c>
      <c r="K56" s="0" t="n">
        <f aca="false">SUMPRODUCT(G$5:G$17&lt;=J56,J56&lt;H$5:H$17)</f>
        <v>0</v>
      </c>
      <c r="L56" s="0" t="n">
        <f aca="false">IF(K56=K55,L55+1,1)</f>
        <v>30</v>
      </c>
    </row>
    <row r="57" customFormat="false" ht="13.8" hidden="false" customHeight="false" outlineLevel="0" collapsed="false">
      <c r="J57" s="0" t="n">
        <v>56</v>
      </c>
      <c r="K57" s="0" t="n">
        <f aca="false">SUMPRODUCT(G$5:G$17&lt;=J57,J57&lt;H$5:H$17)</f>
        <v>0</v>
      </c>
      <c r="L57" s="0" t="n">
        <f aca="false">IF(K57=K56,L56+1,1)</f>
        <v>31</v>
      </c>
    </row>
    <row r="58" customFormat="false" ht="13.8" hidden="false" customHeight="false" outlineLevel="0" collapsed="false">
      <c r="J58" s="0" t="n">
        <v>57</v>
      </c>
      <c r="K58" s="0" t="n">
        <f aca="false">SUMPRODUCT(G$5:G$17&lt;=J58,J58&lt;H$5:H$17)</f>
        <v>0</v>
      </c>
      <c r="L58" s="0" t="n">
        <f aca="false">IF(K58=K57,L57+1,1)</f>
        <v>32</v>
      </c>
    </row>
    <row r="59" customFormat="false" ht="13.8" hidden="false" customHeight="false" outlineLevel="0" collapsed="false">
      <c r="J59" s="0" t="n">
        <v>58</v>
      </c>
      <c r="K59" s="0" t="n">
        <f aca="false">SUMPRODUCT(G$5:G$17&lt;=J59,J59&lt;H$5:H$17)</f>
        <v>0</v>
      </c>
      <c r="L59" s="0" t="n">
        <f aca="false">IF(K59=K58,L58+1,1)</f>
        <v>33</v>
      </c>
    </row>
    <row r="60" customFormat="false" ht="13.8" hidden="false" customHeight="false" outlineLevel="0" collapsed="false">
      <c r="J60" s="0" t="n">
        <v>59</v>
      </c>
      <c r="K60" s="0" t="n">
        <f aca="false">SUMPRODUCT(G$5:G$17&lt;=J60,J60&lt;H$5:H$17)</f>
        <v>0</v>
      </c>
      <c r="L60" s="0" t="n">
        <f aca="false">IF(K60=K59,L59+1,1)</f>
        <v>34</v>
      </c>
    </row>
    <row r="61" customFormat="false" ht="13.8" hidden="false" customHeight="false" outlineLevel="0" collapsed="false">
      <c r="J61" s="0" t="n">
        <v>60</v>
      </c>
      <c r="K61" s="0" t="n">
        <f aca="false">SUMPRODUCT(G$5:G$17&lt;=J61,J61&lt;H$5:H$17)</f>
        <v>0</v>
      </c>
      <c r="L61" s="0" t="n">
        <f aca="false">IF(K61=K60,L60+1,1)</f>
        <v>35</v>
      </c>
    </row>
    <row r="62" customFormat="false" ht="13.8" hidden="false" customHeight="false" outlineLevel="0" collapsed="false">
      <c r="J62" s="0" t="n">
        <v>61</v>
      </c>
      <c r="K62" s="0" t="n">
        <f aca="false">SUMPRODUCT(G$5:G$17&lt;=J62,J62&lt;H$5:H$17)</f>
        <v>0</v>
      </c>
      <c r="L62" s="0" t="n">
        <f aca="false">IF(K62=K61,L61+1,1)</f>
        <v>36</v>
      </c>
    </row>
    <row r="63" customFormat="false" ht="13.8" hidden="false" customHeight="false" outlineLevel="0" collapsed="false">
      <c r="J63" s="0" t="n">
        <v>62</v>
      </c>
      <c r="K63" s="0" t="n">
        <f aca="false">SUMPRODUCT(G$5:G$17&lt;=J63,J63&lt;H$5:H$17)</f>
        <v>0</v>
      </c>
      <c r="L63" s="0" t="n">
        <f aca="false">IF(K63=K62,L62+1,1)</f>
        <v>37</v>
      </c>
    </row>
    <row r="64" customFormat="false" ht="13.8" hidden="false" customHeight="false" outlineLevel="0" collapsed="false">
      <c r="J64" s="0" t="n">
        <v>63</v>
      </c>
      <c r="K64" s="0" t="n">
        <f aca="false">SUMPRODUCT(G$5:G$17&lt;=J64,J64&lt;H$5:H$17)</f>
        <v>0</v>
      </c>
      <c r="L64" s="0" t="n">
        <f aca="false">IF(K64=K63,L63+1,1)</f>
        <v>38</v>
      </c>
    </row>
    <row r="65" customFormat="false" ht="13.8" hidden="false" customHeight="false" outlineLevel="0" collapsed="false">
      <c r="J65" s="0" t="n">
        <v>64</v>
      </c>
      <c r="K65" s="0" t="n">
        <f aca="false">SUMPRODUCT(G$5:G$17&lt;=J65,J65&lt;H$5:H$17)</f>
        <v>0</v>
      </c>
      <c r="L65" s="0" t="n">
        <f aca="false">IF(K65=K64,L64+1,1)</f>
        <v>39</v>
      </c>
    </row>
    <row r="66" customFormat="false" ht="13.8" hidden="false" customHeight="false" outlineLevel="0" collapsed="false">
      <c r="J66" s="0" t="n">
        <v>65</v>
      </c>
      <c r="K66" s="0" t="n">
        <f aca="false">SUMPRODUCT(G$5:G$17&lt;=J66,J66&lt;H$5:H$17)</f>
        <v>0</v>
      </c>
      <c r="L66" s="0" t="n">
        <f aca="false">IF(K66=K65,L65+1,1)</f>
        <v>40</v>
      </c>
    </row>
    <row r="67" customFormat="false" ht="13.8" hidden="false" customHeight="false" outlineLevel="0" collapsed="false">
      <c r="J67" s="0" t="n">
        <v>66</v>
      </c>
      <c r="K67" s="0" t="n">
        <f aca="false">SUMPRODUCT(G$5:G$17&lt;=J67,J67&lt;H$5:H$17)</f>
        <v>0</v>
      </c>
      <c r="L67" s="0" t="n">
        <f aca="false">IF(K67=K66,L66+1,1)</f>
        <v>41</v>
      </c>
    </row>
    <row r="68" customFormat="false" ht="13.8" hidden="false" customHeight="false" outlineLevel="0" collapsed="false">
      <c r="J68" s="0" t="n">
        <v>67</v>
      </c>
      <c r="K68" s="0" t="n">
        <f aca="false">SUMPRODUCT(G$5:G$17&lt;=J68,J68&lt;H$5:H$17)</f>
        <v>0</v>
      </c>
      <c r="L68" s="0" t="n">
        <f aca="false">IF(K68=K67,L67+1,1)</f>
        <v>42</v>
      </c>
    </row>
    <row r="69" customFormat="false" ht="13.8" hidden="false" customHeight="false" outlineLevel="0" collapsed="false">
      <c r="J69" s="0" t="n">
        <v>68</v>
      </c>
      <c r="K69" s="0" t="n">
        <f aca="false">SUMPRODUCT(G$5:G$17&lt;=J69,J69&lt;H$5:H$17)</f>
        <v>0</v>
      </c>
      <c r="L69" s="0" t="n">
        <f aca="false">IF(K69=K68,L68+1,1)</f>
        <v>43</v>
      </c>
    </row>
    <row r="70" customFormat="false" ht="13.8" hidden="false" customHeight="false" outlineLevel="0" collapsed="false">
      <c r="J70" s="0" t="n">
        <v>69</v>
      </c>
      <c r="K70" s="0" t="n">
        <f aca="false">SUMPRODUCT(G$5:G$17&lt;=J70,J70&lt;H$5:H$17)</f>
        <v>0</v>
      </c>
      <c r="L70" s="0" t="n">
        <f aca="false">IF(K70=K69,L69+1,1)</f>
        <v>44</v>
      </c>
    </row>
    <row r="71" customFormat="false" ht="13.8" hidden="false" customHeight="false" outlineLevel="0" collapsed="false">
      <c r="J71" s="0" t="n">
        <v>70</v>
      </c>
      <c r="K71" s="0" t="n">
        <f aca="false">SUMPRODUCT(G$5:G$17&lt;=J71,J71&lt;H$5:H$17)</f>
        <v>0</v>
      </c>
      <c r="L71" s="0" t="n">
        <f aca="false">IF(K71=K70,L70+1,1)</f>
        <v>45</v>
      </c>
    </row>
    <row r="72" customFormat="false" ht="13.8" hidden="false" customHeight="false" outlineLevel="0" collapsed="false">
      <c r="J72" s="0" t="n">
        <v>71</v>
      </c>
      <c r="K72" s="0" t="n">
        <f aca="false">SUMPRODUCT(G$5:G$17&lt;=J72,J72&lt;H$5:H$17)</f>
        <v>0</v>
      </c>
      <c r="L72" s="0" t="n">
        <f aca="false">IF(K72=K71,L71+1,1)</f>
        <v>46</v>
      </c>
    </row>
    <row r="73" customFormat="false" ht="13.8" hidden="false" customHeight="false" outlineLevel="0" collapsed="false">
      <c r="J73" s="0" t="n">
        <v>72</v>
      </c>
      <c r="K73" s="0" t="n">
        <f aca="false">SUMPRODUCT(G$5:G$17&lt;=J73,J73&lt;H$5:H$17)</f>
        <v>0</v>
      </c>
      <c r="L73" s="0" t="n">
        <f aca="false">IF(K73=K72,L72+1,1)</f>
        <v>47</v>
      </c>
    </row>
    <row r="74" customFormat="false" ht="13.8" hidden="false" customHeight="false" outlineLevel="0" collapsed="false">
      <c r="J74" s="0" t="n">
        <v>73</v>
      </c>
      <c r="K74" s="0" t="n">
        <f aca="false">SUMPRODUCT(G$5:G$17&lt;=J74,J74&lt;H$5:H$17)</f>
        <v>0</v>
      </c>
      <c r="L74" s="0" t="n">
        <f aca="false">IF(K74=K73,L73+1,1)</f>
        <v>48</v>
      </c>
    </row>
    <row r="75" customFormat="false" ht="13.8" hidden="false" customHeight="false" outlineLevel="0" collapsed="false">
      <c r="J75" s="0" t="n">
        <v>74</v>
      </c>
      <c r="K75" s="0" t="n">
        <f aca="false">SUMPRODUCT(G$5:G$17&lt;=J75,J75&lt;H$5:H$17)</f>
        <v>0</v>
      </c>
      <c r="L75" s="0" t="n">
        <f aca="false">IF(K75=K74,L74+1,1)</f>
        <v>49</v>
      </c>
    </row>
    <row r="76" customFormat="false" ht="13.8" hidden="false" customHeight="false" outlineLevel="0" collapsed="false">
      <c r="J76" s="0" t="n">
        <v>75</v>
      </c>
      <c r="K76" s="0" t="n">
        <f aca="false">SUMPRODUCT(G$5:G$17&lt;=J76,J76&lt;H$5:H$17)</f>
        <v>0</v>
      </c>
      <c r="L76" s="0" t="n">
        <f aca="false">IF(K76=K75,L75+1,1)</f>
        <v>50</v>
      </c>
    </row>
    <row r="77" customFormat="false" ht="13.8" hidden="false" customHeight="false" outlineLevel="0" collapsed="false">
      <c r="J77" s="0" t="n">
        <v>76</v>
      </c>
      <c r="K77" s="0" t="n">
        <f aca="false">SUMPRODUCT(G$5:G$17&lt;=J77,J77&lt;H$5:H$17)</f>
        <v>0</v>
      </c>
      <c r="L77" s="0" t="n">
        <f aca="false">IF(K77=K76,L76+1,1)</f>
        <v>51</v>
      </c>
    </row>
    <row r="78" customFormat="false" ht="13.8" hidden="false" customHeight="false" outlineLevel="0" collapsed="false">
      <c r="J78" s="0" t="n">
        <v>77</v>
      </c>
      <c r="K78" s="0" t="n">
        <f aca="false">SUMPRODUCT(G$5:G$17&lt;=J78,J78&lt;H$5:H$17)</f>
        <v>0</v>
      </c>
      <c r="L78" s="0" t="n">
        <f aca="false">IF(K78=K77,L77+1,1)</f>
        <v>52</v>
      </c>
    </row>
    <row r="79" customFormat="false" ht="13.8" hidden="false" customHeight="false" outlineLevel="0" collapsed="false">
      <c r="J79" s="0" t="n">
        <v>78</v>
      </c>
      <c r="K79" s="0" t="n">
        <f aca="false">SUMPRODUCT(G$5:G$17&lt;=J79,J79&lt;H$5:H$17)</f>
        <v>0</v>
      </c>
      <c r="L79" s="0" t="n">
        <f aca="false">IF(K79=K78,L78+1,1)</f>
        <v>53</v>
      </c>
    </row>
    <row r="80" customFormat="false" ht="13.8" hidden="false" customHeight="false" outlineLevel="0" collapsed="false">
      <c r="J80" s="0" t="n">
        <v>79</v>
      </c>
      <c r="K80" s="0" t="n">
        <f aca="false">SUMPRODUCT(G$5:G$17&lt;=J80,J80&lt;H$5:H$17)</f>
        <v>0</v>
      </c>
      <c r="L80" s="0" t="n">
        <f aca="false">IF(K80=K79,L79+1,1)</f>
        <v>54</v>
      </c>
    </row>
    <row r="81" customFormat="false" ht="13.8" hidden="false" customHeight="false" outlineLevel="0" collapsed="false">
      <c r="J81" s="0" t="n">
        <v>80</v>
      </c>
      <c r="K81" s="0" t="n">
        <f aca="false">SUMPRODUCT(G$5:G$17&lt;=J81,J81&lt;H$5:H$17)</f>
        <v>0</v>
      </c>
      <c r="L81" s="0" t="n">
        <f aca="false">IF(K81=K80,L80+1,1)</f>
        <v>55</v>
      </c>
    </row>
    <row r="82" customFormat="false" ht="13.8" hidden="false" customHeight="false" outlineLevel="0" collapsed="false">
      <c r="J82" s="0" t="n">
        <v>81</v>
      </c>
      <c r="K82" s="0" t="n">
        <f aca="false">SUMPRODUCT(G$5:G$17&lt;=J82,J82&lt;H$5:H$17)</f>
        <v>0</v>
      </c>
      <c r="L82" s="0" t="n">
        <f aca="false">IF(K82=K81,L81+1,1)</f>
        <v>56</v>
      </c>
    </row>
    <row r="83" customFormat="false" ht="13.8" hidden="false" customHeight="false" outlineLevel="0" collapsed="false">
      <c r="J83" s="0" t="n">
        <v>82</v>
      </c>
      <c r="K83" s="0" t="n">
        <f aca="false">SUMPRODUCT(G$5:G$17&lt;=J83,J83&lt;H$5:H$17)</f>
        <v>0</v>
      </c>
      <c r="L83" s="0" t="n">
        <f aca="false">IF(K83=K82,L82+1,1)</f>
        <v>57</v>
      </c>
    </row>
    <row r="84" customFormat="false" ht="13.8" hidden="false" customHeight="false" outlineLevel="0" collapsed="false">
      <c r="J84" s="0" t="n">
        <v>83</v>
      </c>
      <c r="K84" s="0" t="n">
        <f aca="false">SUMPRODUCT(G$5:G$17&lt;=J84,J84&lt;H$5:H$17)</f>
        <v>0</v>
      </c>
      <c r="L84" s="0" t="n">
        <f aca="false">IF(K84=K83,L83+1,1)</f>
        <v>58</v>
      </c>
    </row>
    <row r="85" customFormat="false" ht="13.8" hidden="false" customHeight="false" outlineLevel="0" collapsed="false">
      <c r="J85" s="0" t="n">
        <v>84</v>
      </c>
      <c r="K85" s="0" t="n">
        <f aca="false">SUMPRODUCT(G$5:G$17&lt;=J85,J85&lt;H$5:H$17)</f>
        <v>0</v>
      </c>
      <c r="L85" s="0" t="n">
        <f aca="false">IF(K85=K84,L84+1,1)</f>
        <v>59</v>
      </c>
    </row>
    <row r="86" customFormat="false" ht="13.8" hidden="false" customHeight="false" outlineLevel="0" collapsed="false">
      <c r="J86" s="0" t="n">
        <v>85</v>
      </c>
      <c r="K86" s="0" t="n">
        <f aca="false">SUMPRODUCT(G$5:G$17&lt;=J86,J86&lt;H$5:H$17)</f>
        <v>0</v>
      </c>
      <c r="L86" s="0" t="n">
        <f aca="false">IF(K86=K85,L85+1,1)</f>
        <v>60</v>
      </c>
    </row>
    <row r="87" customFormat="false" ht="13.8" hidden="false" customHeight="false" outlineLevel="0" collapsed="false">
      <c r="J87" s="0" t="n">
        <v>86</v>
      </c>
      <c r="K87" s="0" t="n">
        <f aca="false">SUMPRODUCT(G$5:G$17&lt;=J87,J87&lt;H$5:H$17)</f>
        <v>0</v>
      </c>
      <c r="L87" s="0" t="n">
        <f aca="false">IF(K87=K86,L86+1,1)</f>
        <v>61</v>
      </c>
    </row>
    <row r="88" customFormat="false" ht="13.8" hidden="false" customHeight="false" outlineLevel="0" collapsed="false">
      <c r="J88" s="0" t="n">
        <v>87</v>
      </c>
      <c r="K88" s="0" t="n">
        <f aca="false">SUMPRODUCT(G$5:G$17&lt;=J88,J88&lt;H$5:H$17)</f>
        <v>0</v>
      </c>
      <c r="L88" s="0" t="n">
        <f aca="false">IF(K88=K87,L87+1,1)</f>
        <v>62</v>
      </c>
    </row>
    <row r="89" customFormat="false" ht="13.8" hidden="false" customHeight="false" outlineLevel="0" collapsed="false">
      <c r="J89" s="0" t="n">
        <v>88</v>
      </c>
      <c r="K89" s="0" t="n">
        <f aca="false">SUMPRODUCT(G$5:G$17&lt;=J89,J89&lt;H$5:H$17)</f>
        <v>0</v>
      </c>
      <c r="L89" s="0" t="n">
        <f aca="false">IF(K89=K88,L88+1,1)</f>
        <v>63</v>
      </c>
    </row>
    <row r="90" customFormat="false" ht="13.8" hidden="false" customHeight="false" outlineLevel="0" collapsed="false">
      <c r="J90" s="0" t="n">
        <v>89</v>
      </c>
      <c r="K90" s="0" t="n">
        <f aca="false">SUMPRODUCT(G$5:G$17&lt;=J90,J90&lt;H$5:H$17)</f>
        <v>0</v>
      </c>
      <c r="L90" s="0" t="n">
        <f aca="false">IF(K90=K89,L89+1,1)</f>
        <v>64</v>
      </c>
    </row>
    <row r="91" customFormat="false" ht="13.8" hidden="false" customHeight="false" outlineLevel="0" collapsed="false">
      <c r="J91" s="0" t="n">
        <v>90</v>
      </c>
      <c r="K91" s="0" t="n">
        <f aca="false">SUMPRODUCT(G$5:G$17&lt;=J91,J91&lt;H$5:H$17)</f>
        <v>0</v>
      </c>
      <c r="L91" s="0" t="n">
        <f aca="false">IF(K91=K90,L90+1,1)</f>
        <v>65</v>
      </c>
    </row>
    <row r="92" customFormat="false" ht="13.8" hidden="false" customHeight="false" outlineLevel="0" collapsed="false">
      <c r="J92" s="0" t="n">
        <v>91</v>
      </c>
      <c r="K92" s="0" t="n">
        <f aca="false">SUMPRODUCT(G$5:G$17&lt;=J92,J92&lt;H$5:H$17)</f>
        <v>0</v>
      </c>
      <c r="L92" s="0" t="n">
        <f aca="false">IF(K92=K91,L91+1,1)</f>
        <v>66</v>
      </c>
    </row>
    <row r="93" customFormat="false" ht="13.8" hidden="false" customHeight="false" outlineLevel="0" collapsed="false">
      <c r="J93" s="0" t="n">
        <v>92</v>
      </c>
      <c r="K93" s="0" t="n">
        <f aca="false">SUMPRODUCT(G$5:G$17&lt;=J93,J93&lt;H$5:H$17)</f>
        <v>0</v>
      </c>
      <c r="L93" s="0" t="n">
        <f aca="false">IF(K93=K92,L92+1,1)</f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2025-03-15T12:23:00Z</dcterms:created>
  <dc:creator>Попков Максим Александрович</dc:creator>
  <dc:description/>
  <dc:language>ru-RU</dc:language>
  <cp:lastModifiedBy/>
  <dcterms:modified xsi:type="dcterms:W3CDTF">2026-06-02T20:58:59Z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